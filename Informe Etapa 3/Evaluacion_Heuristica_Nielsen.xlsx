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paldos\clases\U-Duoc\Semestre 3\Ing Software\Junio\Control de versiones\Informe Etapa 3\"/>
    </mc:Choice>
  </mc:AlternateContent>
  <xr:revisionPtr revIDLastSave="0" documentId="13_ncr:1_{794E1510-DF41-4969-A91C-6D75E51687B8}" xr6:coauthVersionLast="47" xr6:coauthVersionMax="47" xr10:uidLastSave="{00000000-0000-0000-0000-000000000000}"/>
  <bookViews>
    <workbookView xWindow="3510" yWindow="3510" windowWidth="21600" windowHeight="11295" activeTab="1" xr2:uid="{00000000-000D-0000-FFFF-FFFF00000000}"/>
  </bookViews>
  <sheets>
    <sheet name="Instrucciones" sheetId="1" r:id="rId1"/>
    <sheet name="Evaluacion" sheetId="2" r:id="rId2"/>
    <sheet name="Resumen" sheetId="3" r:id="rId3"/>
    <sheet name="Referenci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C9" i="3"/>
  <c r="C8" i="3"/>
  <c r="C7" i="3"/>
  <c r="C6" i="3"/>
  <c r="C5" i="3"/>
  <c r="G21" i="3" l="1"/>
  <c r="G20" i="3"/>
  <c r="F19" i="3"/>
  <c r="G18" i="3"/>
  <c r="F14" i="3"/>
  <c r="G22" i="3"/>
  <c r="G15" i="3"/>
  <c r="G16" i="3"/>
  <c r="G17" i="3"/>
  <c r="F16" i="3"/>
  <c r="F17" i="3"/>
  <c r="G13" i="3"/>
  <c r="G14" i="3"/>
  <c r="F21" i="3"/>
  <c r="F13" i="3"/>
  <c r="F18" i="3"/>
  <c r="F20" i="3"/>
  <c r="F15" i="3"/>
  <c r="G19" i="3"/>
  <c r="F22" i="3"/>
</calcChain>
</file>

<file path=xl/sharedStrings.xml><?xml version="1.0" encoding="utf-8"?>
<sst xmlns="http://schemas.openxmlformats.org/spreadsheetml/2006/main" count="173" uniqueCount="152">
  <si>
    <t>EVALUACION HEURISTICA DE USABILIDAD - NIELSEN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</si>
  <si>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</si>
  <si>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</si>
  <si>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</si>
  <si>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</si>
  <si>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</si>
  <si>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</si>
  <si>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</si>
  <si>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</si>
  <si>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</si>
  <si>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</si>
  <si>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</si>
  <si>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</si>
  <si>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2</t>
  </si>
  <si>
    <t>3</t>
  </si>
  <si>
    <t>4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</si>
  <si>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</si>
  <si>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</si>
  <si>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</si>
  <si>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</si>
  <si>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</si>
  <si>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</si>
  <si>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</si>
  <si>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</si>
  <si>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</si>
  <si>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</si>
  <si>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</si>
  <si>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</si>
  <si>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</si>
  <si>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</si>
  <si>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</si>
  <si>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</si>
  <si>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</si>
  <si>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</si>
  <si>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</si>
  <si>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</si>
  <si>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</si>
  <si>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</si>
  <si>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</si>
  <si>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H1 - Visibilidad del estado</t>
  </si>
  <si>
    <t>H2 - Sistema y mundo real</t>
  </si>
  <si>
    <t>H3 - Control y libertad</t>
  </si>
  <si>
    <t>H4 - Consistencia y estandares</t>
  </si>
  <si>
    <t>H5 - Prevencion de errores</t>
  </si>
  <si>
    <t>H6 - Reconocimiento &gt; recuerdo</t>
  </si>
  <si>
    <t>H7 - Flexibilidad y eficiencia</t>
  </si>
  <si>
    <t>H8 - Diseno minimalista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</si>
  <si>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</si>
  <si>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</si>
  <si>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</si>
  <si>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</si>
  <si>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</si>
  <si>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</si>
  <si>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</si>
  <si>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</si>
  <si>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</si>
  <si>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</si>
  <si>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</si>
  <si>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</si>
  <si>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</si>
  <si>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</si>
  <si>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</si>
  <si>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</si>
  <si>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</si>
  <si>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</si>
  <si>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</si>
  <si>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</si>
  <si>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</si>
  <si>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</si>
  <si>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</si>
  <si>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</si>
  <si>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</si>
  <si>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</si>
  <si>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</si>
  <si>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</si>
  <si>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</si>
  <si>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</si>
  <si>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</si>
  <si>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</si>
  <si>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</si>
  <si>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</si>
  <si>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</si>
  <si>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</si>
  <si>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</si>
  <si>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</si>
  <si>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</si>
  <si>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</si>
  <si>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</si>
  <si>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</si>
  <si>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</si>
  <si>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</si>
  <si>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</si>
  <si>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</si>
  <si>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</si>
  <si>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</si>
  <si>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</si>
  <si>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</si>
  <si>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</si>
  <si>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</si>
  <si>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</si>
  <si>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</si>
  <si>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</si>
  <si>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</si>
  <si>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</si>
  <si>
    <t>Ingenieria de Software - Calidad y Pruebas - Plantilla de Evaluacion</t>
  </si>
  <si>
    <t>Problema cosmético | corregir solo si hay tiempo</t>
  </si>
  <si>
    <t>Problema menor | baja prioridad de correccion</t>
  </si>
  <si>
    <t>Problema mayor  | alta prioridad, dificulta el uso</t>
  </si>
  <si>
    <t>CATASTROFICO | imperativo corregir antes del lanzamiento</t>
  </si>
  <si>
    <t>RESUMEN EJECUTIVO  EVALUACION HEURISTICA</t>
  </si>
  <si>
    <t>Daniel Castro</t>
  </si>
  <si>
    <t>Pamela Acuña</t>
  </si>
  <si>
    <t>Al presionar "Pagar con Webpay", la pantalla no muestra ningún indicador de carga (spinner), dejando al residente con la duda de si el sistema está procesando.</t>
  </si>
  <si>
    <t>Vista de Pagos</t>
  </si>
  <si>
    <t>Incorporar una animación de carga al hacer clic en el botón de pago.</t>
  </si>
  <si>
    <t>En caso de error de conexión, el sistema muestra el mensaje "Error 500 - Timeout", lo cual es jerga técnica incomprensible para un residente promedio.</t>
  </si>
  <si>
    <t>Alerta de Error</t>
  </si>
  <si>
    <t>Cambiar por un mensaje amigable: "No pudimos conectar con el banco, intenta en unos minutos".</t>
  </si>
  <si>
    <t>Si el residente entra a "Ingresar Reclamo" y se arrepiente, no existe un botón de "Cancelar" o "Atrás", obligándolo a usar el menú principal para salir.</t>
  </si>
  <si>
    <t>Vista Reclamos</t>
  </si>
  <si>
    <t>Agregar un botón secundario claro que diga "Cancelar" al lado de "Enviar".</t>
  </si>
  <si>
    <t>Gabriel Martínez</t>
  </si>
  <si>
    <t>El botón principal de confirmación es verde en el portal del Residente, pero es azul oscuro en el Dashboard del Administrador.</t>
  </si>
  <si>
    <t>Todo el Sistema</t>
  </si>
  <si>
    <t>Estandarizar el diseño para que las acciones primarias (guardar/pagar) usen el mismo color.</t>
  </si>
  <si>
    <t>El administrador puede cambiar una deuda a "Pagado" con un solo clic, sin que el sistema le pida confirmación, lo que puede causar errores accidentales.</t>
  </si>
  <si>
    <t>Dashboard Admin</t>
  </si>
  <si>
    <t>Añadir un popup de confirmación: "¿Está seguro de marcar este mes como pagado?".</t>
  </si>
  <si>
    <t>Al filtrar departamentos morosos, el buscador no tiene historial ni autocompletado, obligando al administrador a memorizar y escribir el número exacto.</t>
  </si>
  <si>
    <t>Filtros Admin</t>
  </si>
  <si>
    <t>Implementar una lista desplegable con los números de departamento existentes.</t>
  </si>
  <si>
    <t>Para ver la lista de morosos, el administrador debe hacer 3 clics navegando por el menú, lo cual es ineficiente para una tarea repetitiva diaria.</t>
  </si>
  <si>
    <t>Poner un "Atajo" o un acceso directo gigante en el inicio del Dashboard Admin.</t>
  </si>
  <si>
    <t>El estado de cuenta del residente muestra excesiva información interna (IDs de base de datos de transacción) que ensucia visualmente la boleta.</t>
  </si>
  <si>
    <t>Vista Pagos</t>
  </si>
  <si>
    <t>Limpiar la tabla y mostrar solo Mes, Monto Total y Estado de pago.</t>
  </si>
  <si>
    <t>Login</t>
  </si>
  <si>
    <t>Agregar texto explícito debajo del campo: "Ingresa el RUT sin puntos y con guión".</t>
  </si>
  <si>
    <t>La plataforma no cuenta con una sección de "Preguntas Frecuentes" (FAQ) ni tooltips que expliquen cómo se calcula el "Prorrateo" en la boleta.</t>
  </si>
  <si>
    <t>Estado de Cuenta</t>
  </si>
  <si>
    <t>Añadir un icono de (?) junto a "Prorrateo" que al pasar el mouse explique el cálculo.</t>
  </si>
  <si>
    <t>https://drive.google.com/file/d/1SKAOBe7P4rFKRSAb9hqCTusb3_Too8lU/view?usp=sharing</t>
  </si>
  <si>
    <t>https://drive.google.com/file/d/15973BlqdsNbzcKGjgaC8zAeh6TGNqWy2/view?usp=sharing
https://drive.google.com/file/d/17EUTHzEZ5-Y4aXfKJmZyEC9auVus9EJr/view?usp=sharing</t>
  </si>
  <si>
    <t>https://drive.google.com/file/d/1_kHgjyTgrhwOtIadb0Qvp8JuELUYTRya/view?usp=sharing</t>
  </si>
  <si>
    <t>https://drive.google.com/file/d/1JYEDYRi32sbrOlw4IQ6g-PDZ6wIBuLG_/view?usp=sharing</t>
  </si>
  <si>
    <t>https://drive.google.com/file/d/1iH3OUMLyNPcG3fgl9FGx6g3GYqFK5qHU/view?usp=sharing</t>
  </si>
  <si>
    <t>https://drive.google.com/file/d/1ZtpODiJe6xoLwlgsdPZCDGfOuEg9YtrZ/view?usp=sharing</t>
  </si>
  <si>
    <t>Si el residente escribe mal su correo, el sistema solo pone el campo en rojo, pero no le indica cómo debe ser el formato correcto.</t>
  </si>
  <si>
    <t>https://drive.google.com/file/d/1HJqeLzSjwyPEgwJff0pNUy5MALU30-iF/view?usp=sharing</t>
  </si>
  <si>
    <t>https://drive.google.com/file/d/10P6xdlVBNoyLkNxI1O4B94Jwa9dRYSUu/view?usp=sharing</t>
  </si>
  <si>
    <t>https://drive.google.com/file/d/1gtbDK25-2pZ7nItN8w0MlANpC7Hf3qQF/view?usp=sharing</t>
  </si>
  <si>
    <t>https://drive.google.com/file/d/1Y01Ztwh4USkhs8Ugb-q8G7dPdxuDo4I8/view?usp=sharing
https://drive.google.com/file/d/1P6sCIgTIB7hI8ZHPIghymEK2GlgqfeIY/view?usp=sharing
https://drive.google.com/file/d/1LANFwTG3Y0qW8he-ZOuUfaE4oPK9ywgT/view?usp=sharing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</si>
</sst>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C2C2A"/>
      <name val="Arial"/>
      <family val="2"/>
    </font>
    <font>
      <b/>
      <sz val="10"/>
      <color rgb="FF5F5E5A"/>
      <name val="Arial"/>
      <family val="2"/>
    </font>
    <font>
      <b/>
      <sz val="13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i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1"/>
      <name val="Google Sans Text"/>
    </font>
    <font>
      <sz val="11"/>
      <name val="Google Sans Text"/>
    </font>
    <font>
      <i/>
      <sz val="11"/>
      <name val="Google Sans Text"/>
    </font>
    <font>
      <u/>
      <sz val="10"/>
      <color rgb="FF2C2C2A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F5E5A"/>
      </patternFill>
    </fill>
    <fill>
      <patternFill patternType="solid">
        <fgColor rgb="FFF8F8F6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  <border>
      <left style="thin">
        <color rgb="FFD3D1C7"/>
      </left>
      <right style="thin">
        <color rgb="FFD3D1C7"/>
      </right>
      <top/>
      <bottom style="thin">
        <color rgb="FFD3D1C7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5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vertical="center" wrapText="1"/>
    </xf>
    <xf numFmtId="0" fontId="16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19" fillId="7" borderId="2" xfId="1" applyFill="1" applyBorder="1" applyAlignment="1">
      <alignment vertical="center" wrapText="1"/>
    </xf>
    <xf numFmtId="0" fontId="11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4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2" xfId="0" applyFont="1" applyBorder="1"/>
    <xf numFmtId="0" fontId="7" fillId="5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13" fillId="4" borderId="2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8">
    <dxf>
      <font>
        <color rgb="FF27500A"/>
        <name val="Arial"/>
      </font>
      <fill>
        <patternFill>
          <bgColor rgb="FFEAF3DE"/>
        </patternFill>
      </fill>
    </dxf>
    <dxf>
      <font>
        <b/>
        <color rgb="FF633806"/>
        <name val="Arial"/>
      </font>
      <fill>
        <patternFill>
          <bgColor rgb="FFFAEEDA"/>
        </patternFill>
      </fill>
    </dxf>
    <dxf>
      <font>
        <b/>
        <color rgb="FF791F1F"/>
        <name val="Arial"/>
      </font>
      <fill>
        <patternFill>
          <bgColor rgb="FFFCEBEB"/>
        </patternFill>
      </fill>
    </dxf>
    <dxf>
      <font>
        <b/>
        <sz val="13"/>
        <color rgb="FF791F1F"/>
        <name val="Arial"/>
      </font>
      <fill>
        <patternFill>
          <bgColor rgb="FFFCEBEB"/>
        </patternFill>
      </fill>
    </dxf>
    <dxf>
      <font>
        <b/>
        <sz val="13"/>
        <color rgb="FF8B4000"/>
        <name val="Arial"/>
      </font>
      <fill>
        <patternFill>
          <bgColor rgb="FFFCEBD0"/>
        </patternFill>
      </fill>
    </dxf>
    <dxf>
      <font>
        <b/>
        <sz val="13"/>
        <color rgb="FF633806"/>
        <name val="Arial"/>
      </font>
      <fill>
        <patternFill>
          <bgColor rgb="FFFAEEDA"/>
        </patternFill>
      </fill>
    </dxf>
    <dxf>
      <font>
        <b/>
        <sz val="13"/>
        <color rgb="FF633806"/>
        <name val="Arial"/>
      </font>
      <fill>
        <patternFill>
          <bgColor rgb="FFFFF9F0"/>
        </patternFill>
      </fill>
    </dxf>
    <dxf>
      <font>
        <b/>
        <sz val="13"/>
        <color rgb="FF5F5E5A"/>
        <name val="Arial"/>
      </font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0P6xdlVBNoyLkNxI1O4B94Jwa9dRYSUu/view?usp=sharing" TargetMode="External"/><Relationship Id="rId3" Type="http://schemas.openxmlformats.org/officeDocument/2006/relationships/hyperlink" Target="https://drive.google.com/file/d/1_kHgjyTgrhwOtIadb0Qvp8JuELUYTRya/view?usp=sharing" TargetMode="External"/><Relationship Id="rId7" Type="http://schemas.openxmlformats.org/officeDocument/2006/relationships/hyperlink" Target="https://drive.google.com/file/d/1HJqeLzSjwyPEgwJff0pNUy5MALU30-iF/view?usp=sharing" TargetMode="External"/><Relationship Id="rId2" Type="http://schemas.openxmlformats.org/officeDocument/2006/relationships/hyperlink" Target="https://drive.google.com/file/d/17EUTHzEZ5-Y4aXfKJmZyEC9auVus9EJr/view?usp=sharing" TargetMode="External"/><Relationship Id="rId1" Type="http://schemas.openxmlformats.org/officeDocument/2006/relationships/hyperlink" Target="https://drive.google.com/file/d/1SKAOBe7P4rFKRSAb9hqCTusb3_Too8lU/view?usp=sharing" TargetMode="External"/><Relationship Id="rId6" Type="http://schemas.openxmlformats.org/officeDocument/2006/relationships/hyperlink" Target="https://drive.google.com/file/d/1ZtpODiJe6xoLwlgsdPZCDGfOuEg9YtrZ/view?usp=sharing" TargetMode="External"/><Relationship Id="rId5" Type="http://schemas.openxmlformats.org/officeDocument/2006/relationships/hyperlink" Target="https://drive.google.com/file/d/1iH3OUMLyNPcG3fgl9FGx6g3GYqFK5qHU/view?usp=sharin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rive.google.com/file/d/1JYEDYRi32sbrOlw4IQ6g-PDZ6wIBuLG_/view?usp=sharing" TargetMode="External"/><Relationship Id="rId9" Type="http://schemas.openxmlformats.org/officeDocument/2006/relationships/hyperlink" Target="https://drive.google.com/file/d/1gtbDK25-2pZ7nItN8w0MlANpC7Hf3qQ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showGridLines="0" zoomScale="140" zoomScaleNormal="140" workbookViewId="0">
      <selection activeCell="B8" sqref="B8:E8"/>
    </sheetView>
  </sheetViews>
  <sheetFormatPr baseColWidth="10" defaultColWidth="8.85546875" defaultRowHeight="15"/>
  <cols>
    <col min="1" max="1" width="2" customWidth="1"/>
    <col min="2" max="2" width="22" customWidth="1"/>
    <col min="3" max="3" width="50" customWidth="1"/>
    <col min="4" max="4" width="22" customWidth="1"/>
    <col min="5" max="5" width="18" customWidth="1"/>
  </cols>
  <sheetData>
    <row r="2" spans="2:5" ht="39.950000000000003" customHeight="1">
      <c r="B2" s="33" t="s">
        <v>0</v>
      </c>
      <c r="C2" s="31"/>
      <c r="D2" s="31"/>
      <c r="E2" s="31"/>
    </row>
    <row r="3" spans="2:5" ht="21.95" customHeight="1">
      <c r="B3" s="36" t="s">
        <v>104</v>
      </c>
      <c r="C3" s="31"/>
      <c r="D3" s="31"/>
      <c r="E3" s="31"/>
    </row>
    <row r="5" spans="2:5" ht="18" customHeight="1">
      <c r="B5" s="38" t="s">
        <v>1</v>
      </c>
      <c r="C5" s="39"/>
      <c r="D5" s="39"/>
      <c r="E5" s="39"/>
    </row>
    <row r="6" spans="2:5" ht="18" customHeight="1">
      <c r="B6" s="34" t="s">
        <v>2</v>
      </c>
      <c r="C6" s="35"/>
      <c r="D6" s="35"/>
      <c r="E6" s="35"/>
    </row>
    <row r="7" spans="2:5" ht="18" customHeight="1">
      <c r="B7" s="34" t="s">
        <v>3</v>
      </c>
      <c r="C7" s="35"/>
      <c r="D7" s="35"/>
      <c r="E7" s="35"/>
    </row>
    <row r="8" spans="2:5" ht="18" customHeight="1">
      <c r="B8" s="34" t="s">
        <v>4</v>
      </c>
      <c r="C8" s="35"/>
      <c r="D8" s="35"/>
      <c r="E8" s="35"/>
    </row>
    <row r="9" spans="2:5" ht="18" customHeight="1">
      <c r="B9" s="34" t="s">
        <v>5</v>
      </c>
      <c r="C9" s="35"/>
      <c r="D9" s="35"/>
      <c r="E9" s="35"/>
    </row>
    <row r="10" spans="2:5" ht="18" customHeight="1">
      <c r="B10" s="34" t="s">
        <v>6</v>
      </c>
      <c r="C10" s="35"/>
      <c r="D10" s="35"/>
      <c r="E10" s="35"/>
    </row>
    <row r="11" spans="2:5" ht="18" customHeight="1">
      <c r="B11" s="34" t="s">
        <v>7</v>
      </c>
      <c r="C11" s="35"/>
      <c r="D11" s="35"/>
      <c r="E11" s="35"/>
    </row>
    <row r="12" spans="2:5" ht="18" customHeight="1">
      <c r="B12" s="34" t="s">
        <v>8</v>
      </c>
      <c r="C12" s="35"/>
      <c r="D12" s="35"/>
      <c r="E12" s="35"/>
    </row>
    <row r="15" spans="2:5" ht="18" customHeight="1">
      <c r="B15" s="37" t="s">
        <v>9</v>
      </c>
      <c r="C15" s="35"/>
      <c r="D15" s="35"/>
      <c r="E15" s="35"/>
    </row>
    <row r="16" spans="2:5" ht="18" customHeight="1">
      <c r="B16" s="7" t="s">
        <v>10</v>
      </c>
      <c r="C16" s="34" t="s">
        <v>11</v>
      </c>
      <c r="D16" s="35"/>
      <c r="E16" s="35"/>
    </row>
    <row r="17" spans="2:5" ht="18" customHeight="1">
      <c r="B17" s="7" t="s">
        <v>12</v>
      </c>
      <c r="C17" s="34" t="s">
        <v>105</v>
      </c>
      <c r="D17" s="35"/>
      <c r="E17" s="35"/>
    </row>
    <row r="18" spans="2:5" ht="18" customHeight="1">
      <c r="B18" s="7" t="s">
        <v>13</v>
      </c>
      <c r="C18" s="34" t="s">
        <v>106</v>
      </c>
      <c r="D18" s="35"/>
      <c r="E18" s="35"/>
    </row>
    <row r="19" spans="2:5" ht="18" customHeight="1">
      <c r="B19" s="7" t="s">
        <v>14</v>
      </c>
      <c r="C19" s="34" t="s">
        <v>107</v>
      </c>
      <c r="D19" s="35"/>
      <c r="E19" s="35"/>
    </row>
    <row r="20" spans="2:5" ht="18" customHeight="1">
      <c r="B20" s="7" t="s">
        <v>15</v>
      </c>
      <c r="C20" s="34" t="s">
        <v>108</v>
      </c>
      <c r="D20" s="35"/>
      <c r="E20" s="35"/>
    </row>
  </sheetData>
  <mergeCells count="16">
    <mergeCell ref="C20:E20"/>
    <mergeCell ref="B9:E9"/>
    <mergeCell ref="B15:E15"/>
    <mergeCell ref="C16:E16"/>
    <mergeCell ref="B5:E5"/>
    <mergeCell ref="B2:E2"/>
    <mergeCell ref="C19:E19"/>
    <mergeCell ref="B6:E6"/>
    <mergeCell ref="B12:E12"/>
    <mergeCell ref="B8:E8"/>
    <mergeCell ref="C18:E18"/>
    <mergeCell ref="B3:E3"/>
    <mergeCell ref="B11:E11"/>
    <mergeCell ref="B7:E7"/>
    <mergeCell ref="C17:E17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tabSelected="1" workbookViewId="0">
      <pane ySplit="3" topLeftCell="A4" activePane="bottomLeft" state="frozen"/>
      <selection pane="bottomLeft" activeCell="J6" sqref="J6"/>
    </sheetView>
  </sheetViews>
  <sheetFormatPr baseColWidth="10" defaultColWidth="8.85546875" defaultRowHeight="15"/>
  <cols>
    <col min="1" max="1" width="5" customWidth="1"/>
    <col min="2" max="2" width="16" customWidth="1"/>
    <col min="3" max="3" width="32" customWidth="1"/>
    <col min="4" max="4" width="28" customWidth="1"/>
    <col min="5" max="5" width="12" customWidth="1"/>
    <col min="6" max="6" width="26" customWidth="1"/>
    <col min="7" max="7" width="30" customWidth="1"/>
    <col min="8" max="8" width="16" customWidth="1"/>
  </cols>
  <sheetData>
    <row r="1" spans="1:8" ht="32.1" customHeight="1">
      <c r="A1" s="32" t="s">
        <v>16</v>
      </c>
      <c r="B1" s="31"/>
      <c r="C1" s="31"/>
      <c r="D1" s="31"/>
      <c r="E1" s="31"/>
      <c r="F1" s="31"/>
      <c r="G1" s="31"/>
      <c r="H1" s="31"/>
    </row>
    <row r="2" spans="1:8" ht="15.95" customHeight="1">
      <c r="A2" s="30" t="s">
        <v>17</v>
      </c>
      <c r="B2" s="31"/>
      <c r="C2" s="31"/>
      <c r="D2" s="31"/>
      <c r="E2" s="31"/>
      <c r="F2" s="31"/>
      <c r="G2" s="31"/>
      <c r="H2" s="31"/>
    </row>
    <row r="3" spans="1:8" ht="32.1" customHeight="1">
      <c r="A3" s="21" t="s">
        <v>18</v>
      </c>
      <c r="B3" s="21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</row>
    <row r="4" spans="1:8" ht="69" customHeight="1">
      <c r="A4" s="22">
        <v>1</v>
      </c>
      <c r="B4" s="23" t="s">
        <v>39</v>
      </c>
      <c r="C4" s="26" t="s">
        <v>112</v>
      </c>
      <c r="D4" s="26" t="s">
        <v>113</v>
      </c>
      <c r="E4" s="26">
        <v>3</v>
      </c>
      <c r="F4" s="29" t="s">
        <v>141</v>
      </c>
      <c r="G4" s="26" t="s">
        <v>114</v>
      </c>
      <c r="H4" s="25" t="s">
        <v>111</v>
      </c>
    </row>
    <row r="5" spans="1:8" ht="62.25" customHeight="1">
      <c r="A5" s="22">
        <v>2</v>
      </c>
      <c r="B5" s="23" t="s">
        <v>40</v>
      </c>
      <c r="C5" s="26" t="s">
        <v>115</v>
      </c>
      <c r="D5" s="26" t="s">
        <v>116</v>
      </c>
      <c r="E5" s="26">
        <v>2</v>
      </c>
      <c r="F5" s="29" t="s">
        <v>150</v>
      </c>
      <c r="G5" s="26" t="s">
        <v>117</v>
      </c>
      <c r="H5" s="25" t="s">
        <v>121</v>
      </c>
    </row>
    <row r="6" spans="1:8" ht="71.25" customHeight="1">
      <c r="A6" s="22">
        <v>3</v>
      </c>
      <c r="B6" s="23" t="s">
        <v>41</v>
      </c>
      <c r="C6" s="26" t="s">
        <v>118</v>
      </c>
      <c r="D6" s="26" t="s">
        <v>119</v>
      </c>
      <c r="E6" s="26">
        <v>3</v>
      </c>
      <c r="F6" s="27" t="s">
        <v>151</v>
      </c>
      <c r="G6" s="26" t="s">
        <v>120</v>
      </c>
      <c r="H6" s="25" t="s">
        <v>110</v>
      </c>
    </row>
    <row r="7" spans="1:8" ht="105" customHeight="1">
      <c r="A7" s="22">
        <v>4</v>
      </c>
      <c r="B7" s="23" t="s">
        <v>42</v>
      </c>
      <c r="C7" s="26" t="s">
        <v>122</v>
      </c>
      <c r="D7" s="26" t="s">
        <v>123</v>
      </c>
      <c r="E7" s="26">
        <v>2</v>
      </c>
      <c r="F7" s="29" t="s">
        <v>142</v>
      </c>
      <c r="G7" s="26" t="s">
        <v>124</v>
      </c>
      <c r="H7" s="25" t="s">
        <v>111</v>
      </c>
    </row>
    <row r="8" spans="1:8" ht="42" customHeight="1">
      <c r="A8" s="22">
        <v>5</v>
      </c>
      <c r="B8" s="23" t="s">
        <v>43</v>
      </c>
      <c r="C8" s="26" t="s">
        <v>125</v>
      </c>
      <c r="D8" s="26" t="s">
        <v>126</v>
      </c>
      <c r="E8" s="26">
        <v>4</v>
      </c>
      <c r="F8" s="29" t="s">
        <v>143</v>
      </c>
      <c r="G8" s="26" t="s">
        <v>127</v>
      </c>
      <c r="H8" s="25" t="s">
        <v>121</v>
      </c>
    </row>
    <row r="9" spans="1:8" ht="42" customHeight="1">
      <c r="A9" s="22">
        <v>6</v>
      </c>
      <c r="B9" s="23" t="s">
        <v>44</v>
      </c>
      <c r="C9" s="26" t="s">
        <v>128</v>
      </c>
      <c r="D9" s="26" t="s">
        <v>129</v>
      </c>
      <c r="E9" s="26">
        <v>1</v>
      </c>
      <c r="F9" s="29" t="s">
        <v>146</v>
      </c>
      <c r="G9" s="26" t="s">
        <v>130</v>
      </c>
      <c r="H9" s="25" t="s">
        <v>110</v>
      </c>
    </row>
    <row r="10" spans="1:8" ht="42" customHeight="1">
      <c r="A10" s="22">
        <v>7</v>
      </c>
      <c r="B10" s="23" t="s">
        <v>45</v>
      </c>
      <c r="C10" s="26" t="s">
        <v>131</v>
      </c>
      <c r="D10" s="26" t="s">
        <v>126</v>
      </c>
      <c r="E10" s="26">
        <v>2</v>
      </c>
      <c r="F10" s="29" t="s">
        <v>144</v>
      </c>
      <c r="G10" s="26" t="s">
        <v>132</v>
      </c>
      <c r="H10" s="25" t="s">
        <v>111</v>
      </c>
    </row>
    <row r="11" spans="1:8" ht="42" customHeight="1">
      <c r="A11" s="22">
        <v>8</v>
      </c>
      <c r="B11" s="23" t="s">
        <v>46</v>
      </c>
      <c r="C11" s="26" t="s">
        <v>133</v>
      </c>
      <c r="D11" s="26" t="s">
        <v>134</v>
      </c>
      <c r="E11" s="26">
        <v>1</v>
      </c>
      <c r="F11" s="29" t="s">
        <v>145</v>
      </c>
      <c r="G11" s="26" t="s">
        <v>135</v>
      </c>
      <c r="H11" s="25" t="s">
        <v>121</v>
      </c>
    </row>
    <row r="12" spans="1:8" ht="42" customHeight="1">
      <c r="A12" s="22">
        <v>9</v>
      </c>
      <c r="B12" s="23" t="s">
        <v>47</v>
      </c>
      <c r="C12" s="26" t="s">
        <v>147</v>
      </c>
      <c r="D12" s="26" t="s">
        <v>136</v>
      </c>
      <c r="E12" s="26">
        <v>3</v>
      </c>
      <c r="F12" s="29" t="s">
        <v>148</v>
      </c>
      <c r="G12" s="26" t="s">
        <v>137</v>
      </c>
      <c r="H12" s="25" t="s">
        <v>110</v>
      </c>
    </row>
    <row r="13" spans="1:8" ht="42" customHeight="1">
      <c r="A13" s="22">
        <v>10</v>
      </c>
      <c r="B13" s="28" t="s">
        <v>48</v>
      </c>
      <c r="C13" s="26" t="s">
        <v>138</v>
      </c>
      <c r="D13" s="26" t="s">
        <v>139</v>
      </c>
      <c r="E13" s="26">
        <v>2</v>
      </c>
      <c r="F13" s="29" t="s">
        <v>149</v>
      </c>
      <c r="G13" s="26" t="s">
        <v>140</v>
      </c>
      <c r="H13" s="25" t="s">
        <v>111</v>
      </c>
    </row>
    <row r="14" spans="1:8" ht="42" customHeight="1">
      <c r="A14" s="22">
        <v>11</v>
      </c>
      <c r="B14" s="23"/>
      <c r="C14" s="23"/>
      <c r="D14" s="23"/>
      <c r="E14" s="24"/>
      <c r="F14" s="23"/>
      <c r="G14" s="23"/>
      <c r="H14" s="23"/>
    </row>
    <row r="15" spans="1:8" ht="42" customHeight="1">
      <c r="A15" s="5">
        <v>12</v>
      </c>
      <c r="B15" s="1"/>
      <c r="C15" s="1"/>
      <c r="D15" s="1"/>
      <c r="E15" s="6"/>
      <c r="F15" s="1"/>
      <c r="G15" s="1"/>
      <c r="H15" s="1"/>
    </row>
    <row r="16" spans="1:8" ht="42" customHeight="1">
      <c r="A16" s="2">
        <v>13</v>
      </c>
      <c r="B16" s="3"/>
      <c r="C16" s="3"/>
      <c r="D16" s="3"/>
      <c r="E16" s="4"/>
      <c r="F16" s="3"/>
      <c r="G16" s="3"/>
      <c r="H16" s="3"/>
    </row>
    <row r="17" spans="1:8" ht="42" customHeight="1">
      <c r="A17" s="5">
        <v>14</v>
      </c>
      <c r="B17" s="1"/>
      <c r="C17" s="1"/>
      <c r="D17" s="1"/>
      <c r="E17" s="6"/>
      <c r="F17" s="1"/>
      <c r="G17" s="1"/>
      <c r="H17" s="1"/>
    </row>
    <row r="18" spans="1:8" ht="42" customHeight="1">
      <c r="A18" s="2">
        <v>15</v>
      </c>
      <c r="B18" s="3"/>
      <c r="C18" s="3"/>
      <c r="D18" s="3"/>
      <c r="E18" s="4"/>
      <c r="F18" s="3"/>
      <c r="G18" s="3"/>
      <c r="H18" s="3"/>
    </row>
    <row r="19" spans="1:8" ht="42" customHeight="1">
      <c r="A19" s="5">
        <v>16</v>
      </c>
      <c r="B19" s="1"/>
      <c r="C19" s="1"/>
      <c r="D19" s="1"/>
      <c r="E19" s="6"/>
      <c r="F19" s="1"/>
      <c r="G19" s="1"/>
      <c r="H19" s="1"/>
    </row>
    <row r="20" spans="1:8" ht="42" customHeight="1">
      <c r="A20" s="2">
        <v>17</v>
      </c>
      <c r="B20" s="3"/>
      <c r="C20" s="3"/>
      <c r="D20" s="3"/>
      <c r="E20" s="4"/>
      <c r="F20" s="3"/>
      <c r="G20" s="3"/>
      <c r="H20" s="3"/>
    </row>
    <row r="21" spans="1:8" ht="42" customHeight="1">
      <c r="A21" s="5">
        <v>18</v>
      </c>
      <c r="B21" s="1"/>
      <c r="C21" s="1"/>
      <c r="D21" s="1"/>
      <c r="E21" s="6"/>
      <c r="F21" s="1"/>
      <c r="G21" s="1"/>
      <c r="H21" s="1"/>
    </row>
    <row r="22" spans="1:8" ht="42" customHeight="1">
      <c r="A22" s="2">
        <v>19</v>
      </c>
      <c r="B22" s="3"/>
      <c r="C22" s="3"/>
      <c r="D22" s="3"/>
      <c r="E22" s="4"/>
      <c r="F22" s="3"/>
      <c r="G22" s="3"/>
      <c r="H22" s="3"/>
    </row>
    <row r="23" spans="1:8" ht="42" customHeight="1">
      <c r="A23" s="5">
        <v>20</v>
      </c>
      <c r="B23" s="1"/>
      <c r="C23" s="1"/>
      <c r="D23" s="1"/>
      <c r="E23" s="6"/>
      <c r="F23" s="1"/>
      <c r="G23" s="1"/>
      <c r="H23" s="1"/>
    </row>
    <row r="24" spans="1:8" ht="42" customHeight="1">
      <c r="A24" s="2">
        <v>21</v>
      </c>
      <c r="B24" s="3"/>
      <c r="C24" s="3"/>
      <c r="D24" s="3"/>
      <c r="E24" s="4"/>
      <c r="F24" s="3"/>
      <c r="G24" s="3"/>
      <c r="H24" s="3"/>
    </row>
    <row r="25" spans="1:8" ht="42" customHeight="1">
      <c r="A25" s="5">
        <v>22</v>
      </c>
      <c r="B25" s="1"/>
      <c r="C25" s="1"/>
      <c r="D25" s="1"/>
      <c r="E25" s="6"/>
      <c r="F25" s="1"/>
      <c r="G25" s="1"/>
      <c r="H25" s="1"/>
    </row>
    <row r="26" spans="1:8" ht="42" customHeight="1">
      <c r="A26" s="2">
        <v>23</v>
      </c>
      <c r="B26" s="3"/>
      <c r="C26" s="3"/>
      <c r="D26" s="3"/>
      <c r="E26" s="4"/>
      <c r="F26" s="3"/>
      <c r="G26" s="3"/>
      <c r="H26" s="3"/>
    </row>
    <row r="27" spans="1:8" ht="42" customHeight="1">
      <c r="A27" s="5">
        <v>24</v>
      </c>
      <c r="B27" s="1"/>
      <c r="C27" s="1"/>
      <c r="D27" s="1"/>
      <c r="E27" s="6"/>
      <c r="F27" s="1"/>
      <c r="G27" s="1"/>
      <c r="H27" s="1"/>
    </row>
    <row r="28" spans="1:8" ht="42" customHeight="1">
      <c r="A28" s="2">
        <v>25</v>
      </c>
      <c r="B28" s="3"/>
      <c r="C28" s="3"/>
      <c r="D28" s="3"/>
      <c r="E28" s="4"/>
      <c r="F28" s="3"/>
      <c r="G28" s="3"/>
      <c r="H28" s="3"/>
    </row>
  </sheetData>
  <mergeCells count="2">
    <mergeCell ref="A2:H2"/>
    <mergeCell ref="A1:H1"/>
  </mergeCells>
  <conditionalFormatting sqref="E14:E28">
    <cfRule type="cellIs" dxfId="7" priority="1" operator="equal">
      <formula>0</formula>
    </cfRule>
    <cfRule type="cellIs" dxfId="6" priority="2" operator="equal">
      <formula>1</formula>
    </cfRule>
    <cfRule type="cellIs" dxfId="5" priority="3" operator="equal">
      <formula>2</formula>
    </cfRule>
    <cfRule type="cellIs" dxfId="4" priority="4" operator="equal">
      <formula>3</formula>
    </cfRule>
    <cfRule type="cellIs" dxfId="3" priority="5" operator="equal">
      <formula>4</formula>
    </cfRule>
  </conditionalFormatting>
  <dataValidations count="2">
    <dataValidation type="list" allowBlank="1" showErrorMessage="1" errorTitle="Valor invalido" error="Seleccione una heuristica de la lista." sqref="B4:B28" xr:uid="{00000000-0002-0000-0100-000000000000}">
      <formula1>_xlfn._LONGTEXT("H1 -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</dataValidation>
    <dataValidation type="whole" allowBlank="1" showInputMessage="1" showErrorMessage="1" errorTitle="Severidad invalida" error="Ingrese un numero entre 0 y 4." promptTitle="Escala de severidad" prompt="0=No problema  1=Cosmético  2=Menor  3=Mayor  4=Catastrófico" sqref="E14:E28" xr:uid="{00000000-0002-0000-0100-000001000000}">
      <formula1>0</formula1>
      <formula2>4</formula2>
    </dataValidation>
  </dataValidations>
  <hyperlinks>
    <hyperlink ref="F4" r:id="rId1" xr:uid="{4E1119E4-C987-4CDC-9A49-1CE3085308FF}"/>
    <hyperlink ref="F7" r:id="rId2" display="https://drive.google.com/file/d/17EUTHzEZ5-Y4aXfKJmZyEC9auVus9EJr/view?usp=sharing" xr:uid="{904BD3B1-3EE3-4043-A2E2-09E5936FD811}"/>
    <hyperlink ref="F8" r:id="rId3" xr:uid="{86889008-E331-4E52-B7D8-81CCFC7E2E15}"/>
    <hyperlink ref="F10" r:id="rId4" xr:uid="{89C79129-2048-42BE-8E87-A07B3F078239}"/>
    <hyperlink ref="F11" r:id="rId5" xr:uid="{8B31EA3D-F2EC-4410-A439-8FA581F855BB}"/>
    <hyperlink ref="F9" r:id="rId6" xr:uid="{7C8550FD-5DAD-4241-8A41-2E9752AE559E}"/>
    <hyperlink ref="F12" r:id="rId7" xr:uid="{5C8A1CDE-01AE-4F7F-9E90-A4FD3989B997}"/>
    <hyperlink ref="F13" r:id="rId8" xr:uid="{3B90FE21-383B-4CEE-8B86-91F6B5D45DD6}"/>
    <hyperlink ref="F5" r:id="rId9" xr:uid="{BED4A317-8C7A-44B9-8162-5E5FC76C4A35}"/>
  </hyperlinks>
  <pageMargins left="0.75" right="0.75" top="1" bottom="1" header="0.5" footer="0.5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2"/>
  <sheetViews>
    <sheetView showGridLines="0" workbookViewId="0">
      <selection activeCell="A23" sqref="A23"/>
    </sheetView>
  </sheetViews>
  <sheetFormatPr baseColWidth="10" defaultColWidth="8.85546875" defaultRowHeight="15"/>
  <cols>
    <col min="1" max="1" width="3" customWidth="1"/>
    <col min="2" max="2" width="28" customWidth="1"/>
    <col min="3" max="5" width="14" customWidth="1"/>
    <col min="6" max="6" width="18" customWidth="1"/>
    <col min="7" max="7" width="20" customWidth="1"/>
  </cols>
  <sheetData>
    <row r="1" spans="2:7" ht="32.1" customHeight="1">
      <c r="B1" s="32" t="s">
        <v>109</v>
      </c>
      <c r="C1" s="31"/>
      <c r="D1" s="31"/>
      <c r="E1" s="31"/>
      <c r="F1" s="31"/>
      <c r="G1" s="31"/>
    </row>
    <row r="2" spans="2:7" ht="15.95" customHeight="1">
      <c r="B2" s="30" t="s">
        <v>26</v>
      </c>
      <c r="C2" s="31"/>
      <c r="D2" s="31"/>
      <c r="E2" s="31"/>
      <c r="F2" s="31"/>
      <c r="G2" s="31"/>
    </row>
    <row r="4" spans="2:7" ht="18" customHeight="1">
      <c r="B4" s="40" t="s">
        <v>27</v>
      </c>
      <c r="C4" s="41"/>
      <c r="D4" s="41"/>
      <c r="E4" s="41"/>
      <c r="F4" s="41"/>
      <c r="G4" s="41"/>
    </row>
    <row r="5" spans="2:7" ht="21.95" customHeight="1">
      <c r="B5" s="9" t="s">
        <v>28</v>
      </c>
      <c r="C5" s="42">
        <f>COUNTA(Evaluacion!C4:C28)</f>
        <v>10</v>
      </c>
      <c r="D5" s="35"/>
    </row>
    <row r="6" spans="2:7" ht="21.95" customHeight="1">
      <c r="B6" s="9" t="s">
        <v>29</v>
      </c>
      <c r="C6" s="44">
        <f>IFERROR(AVERAGE(Evaluacion!E4:E28),0)</f>
        <v>2.2999999999999998</v>
      </c>
      <c r="D6" s="35"/>
    </row>
    <row r="7" spans="2:7" ht="21.95" customHeight="1">
      <c r="B7" s="9" t="s">
        <v>30</v>
      </c>
      <c r="C7" s="42">
        <f>COUNTIF(Evaluacion!E4:E28,4)</f>
        <v>1</v>
      </c>
      <c r="D7" s="35"/>
    </row>
    <row r="8" spans="2:7" ht="21.95" customHeight="1">
      <c r="B8" s="9" t="s">
        <v>31</v>
      </c>
      <c r="C8" s="42">
        <f>COUNTIF(Evaluacion!E4:E28,3)</f>
        <v>3</v>
      </c>
      <c r="D8" s="35"/>
    </row>
    <row r="9" spans="2:7" ht="21.95" customHeight="1">
      <c r="B9" s="9" t="s">
        <v>32</v>
      </c>
      <c r="C9" s="42">
        <f>COUNTIFS(Evaluacion!E4:E28,"&gt;=1",Evaluacion!E4:E28,"&lt;=2")</f>
        <v>6</v>
      </c>
      <c r="D9" s="35"/>
    </row>
    <row r="11" spans="2:7" ht="18" customHeight="1">
      <c r="B11" s="43" t="s">
        <v>33</v>
      </c>
      <c r="C11" s="31"/>
      <c r="D11" s="31"/>
      <c r="E11" s="31"/>
      <c r="F11" s="31"/>
      <c r="G11" s="31"/>
    </row>
    <row r="12" spans="2:7" ht="20.100000000000001" customHeight="1">
      <c r="B12" s="8" t="s">
        <v>19</v>
      </c>
      <c r="C12" s="8" t="s">
        <v>34</v>
      </c>
      <c r="D12" s="8" t="s">
        <v>35</v>
      </c>
      <c r="E12" s="8" t="s">
        <v>36</v>
      </c>
      <c r="F12" s="8" t="s">
        <v>37</v>
      </c>
      <c r="G12" s="8" t="s">
        <v>38</v>
      </c>
    </row>
    <row r="13" spans="2:7" ht="20.100000000000001" customHeight="1">
      <c r="B13" s="10" t="s">
        <v>39</v>
      </c>
      <c r="C13" s="16">
        <f>COUNTIF(Evaluacion!B4:B28,"*H1*")</f>
        <v>2</v>
      </c>
      <c r="D13" s="16">
        <f ca="1">IFERROR(_xludf.MAXIFS(Evaluacion!E4:E28,Evaluacion!B4:B28,"*H1*"),0)</f>
        <v>0</v>
      </c>
      <c r="E13" s="11">
        <f>IFERROR(AVERAGEIF(Evaluacion!B4:B28,"*H1*",Evaluacion!E4:E28),0)</f>
        <v>2.5</v>
      </c>
      <c r="F13" s="12" t="str">
        <f t="shared" ref="F13:F22" ca="1" si="0">IF(C13=0,"Sin problemas",IF(D13&gt;=4,"CRITICO",IF(D13&gt;=3,"MAYOR","MENOR")))</f>
        <v>MENOR</v>
      </c>
      <c r="G13" s="12" t="str">
        <f t="shared" ref="G13:G22" ca="1" si="1">IF(C13=0,"Sin problemas",IF(D13=4,"1 - Inmediata",IF(D13=3,"2 - Alta",IF(D13=2,"3 - Media","4 - Baja"))))</f>
        <v>4 - Baja</v>
      </c>
    </row>
    <row r="14" spans="2:7" ht="20.100000000000001" customHeight="1">
      <c r="B14" s="13" t="s">
        <v>40</v>
      </c>
      <c r="C14" s="17">
        <f>COUNTIF(Evaluacion!B4:B28,"*H2*")</f>
        <v>1</v>
      </c>
      <c r="D14" s="17">
        <f ca="1">IFERROR(_xludf.MAXIFS(Evaluacion!E4:E28,Evaluacion!B4:B28,"*H2*"),0)</f>
        <v>0</v>
      </c>
      <c r="E14" s="14">
        <f>IFERROR(AVERAGEIF(Evaluacion!B4:B28,"*H2*",Evaluacion!E4:E28),0)</f>
        <v>2</v>
      </c>
      <c r="F14" s="15" t="str">
        <f t="shared" ca="1" si="0"/>
        <v>MENOR</v>
      </c>
      <c r="G14" s="15" t="str">
        <f t="shared" ca="1" si="1"/>
        <v>4 - Baja</v>
      </c>
    </row>
    <row r="15" spans="2:7" ht="20.100000000000001" customHeight="1">
      <c r="B15" s="10" t="s">
        <v>41</v>
      </c>
      <c r="C15" s="16">
        <f>COUNTIF(Evaluacion!B4:B28,"*H3*")</f>
        <v>1</v>
      </c>
      <c r="D15" s="16">
        <f ca="1">IFERROR(_xludf.MAXIFS(Evaluacion!E4:E28,Evaluacion!B4:B28,"*H3*"),0)</f>
        <v>0</v>
      </c>
      <c r="E15" s="11">
        <f>IFERROR(AVERAGEIF(Evaluacion!B4:B28,"*H3*",Evaluacion!E4:E28),0)</f>
        <v>3</v>
      </c>
      <c r="F15" s="12" t="str">
        <f t="shared" ca="1" si="0"/>
        <v>MENOR</v>
      </c>
      <c r="G15" s="12" t="str">
        <f t="shared" ca="1" si="1"/>
        <v>4 - Baja</v>
      </c>
    </row>
    <row r="16" spans="2:7" ht="20.100000000000001" customHeight="1">
      <c r="B16" s="13" t="s">
        <v>42</v>
      </c>
      <c r="C16" s="17">
        <f>COUNTIF(Evaluacion!B4:B28,"*H4*")</f>
        <v>1</v>
      </c>
      <c r="D16" s="17">
        <f ca="1">IFERROR(_xludf.MAXIFS(Evaluacion!E4:E28,Evaluacion!B4:B28,"*H4*"),0)</f>
        <v>0</v>
      </c>
      <c r="E16" s="14">
        <f>IFERROR(AVERAGEIF(Evaluacion!B4:B28,"*H4*",Evaluacion!E4:E28),0)</f>
        <v>2</v>
      </c>
      <c r="F16" s="15" t="str">
        <f t="shared" ca="1" si="0"/>
        <v>MENOR</v>
      </c>
      <c r="G16" s="15" t="str">
        <f t="shared" ca="1" si="1"/>
        <v>4 - Baja</v>
      </c>
    </row>
    <row r="17" spans="2:7" ht="20.100000000000001" customHeight="1">
      <c r="B17" s="10" t="s">
        <v>43</v>
      </c>
      <c r="C17" s="16">
        <f>COUNTIF(Evaluacion!B4:B28,"*H5*")</f>
        <v>1</v>
      </c>
      <c r="D17" s="16">
        <f ca="1">IFERROR(_xludf.MAXIFS(Evaluacion!E4:E28,Evaluacion!B4:B28,"*H5*"),0)</f>
        <v>0</v>
      </c>
      <c r="E17" s="11">
        <f>IFERROR(AVERAGEIF(Evaluacion!B4:B28,"*H5*",Evaluacion!E4:E28),0)</f>
        <v>4</v>
      </c>
      <c r="F17" s="12" t="str">
        <f t="shared" ca="1" si="0"/>
        <v>MENOR</v>
      </c>
      <c r="G17" s="12" t="str">
        <f t="shared" ca="1" si="1"/>
        <v>4 - Baja</v>
      </c>
    </row>
    <row r="18" spans="2:7" ht="20.100000000000001" customHeight="1">
      <c r="B18" s="13" t="s">
        <v>44</v>
      </c>
      <c r="C18" s="17">
        <f>COUNTIF(Evaluacion!B4:B28,"*H6*")</f>
        <v>1</v>
      </c>
      <c r="D18" s="17">
        <f ca="1">IFERROR(_xludf.MAXIFS(Evaluacion!E4:E28,Evaluacion!B4:B28,"*H6*"),0)</f>
        <v>0</v>
      </c>
      <c r="E18" s="14">
        <f>IFERROR(AVERAGEIF(Evaluacion!B4:B28,"*H6*",Evaluacion!E4:E28),0)</f>
        <v>1</v>
      </c>
      <c r="F18" s="15" t="str">
        <f t="shared" ca="1" si="0"/>
        <v>MENOR</v>
      </c>
      <c r="G18" s="15" t="str">
        <f t="shared" ca="1" si="1"/>
        <v>4 - Baja</v>
      </c>
    </row>
    <row r="19" spans="2:7" ht="20.100000000000001" customHeight="1">
      <c r="B19" s="10" t="s">
        <v>45</v>
      </c>
      <c r="C19" s="16">
        <f>COUNTIF(Evaluacion!B4:B28,"*H7*")</f>
        <v>1</v>
      </c>
      <c r="D19" s="16">
        <f ca="1">IFERROR(_xludf.MAXIFS(Evaluacion!E4:E28,Evaluacion!B4:B28,"*H7*"),0)</f>
        <v>0</v>
      </c>
      <c r="E19" s="11">
        <f>IFERROR(AVERAGEIF(Evaluacion!B4:B28,"*H7*",Evaluacion!E4:E28),0)</f>
        <v>2</v>
      </c>
      <c r="F19" s="12" t="str">
        <f t="shared" ca="1" si="0"/>
        <v>MENOR</v>
      </c>
      <c r="G19" s="12" t="str">
        <f t="shared" ca="1" si="1"/>
        <v>4 - Baja</v>
      </c>
    </row>
    <row r="20" spans="2:7" ht="20.100000000000001" customHeight="1">
      <c r="B20" s="13" t="s">
        <v>46</v>
      </c>
      <c r="C20" s="17">
        <f>COUNTIF(Evaluacion!B4:B28,"*H8*")</f>
        <v>1</v>
      </c>
      <c r="D20" s="17">
        <f ca="1">IFERROR(_xludf.MAXIFS(Evaluacion!E4:E28,Evaluacion!B4:B28,"*H8*"),0)</f>
        <v>0</v>
      </c>
      <c r="E20" s="14">
        <f>IFERROR(AVERAGEIF(Evaluacion!B4:B28,"*H8*",Evaluacion!E4:E28),0)</f>
        <v>1</v>
      </c>
      <c r="F20" s="15" t="str">
        <f t="shared" ca="1" si="0"/>
        <v>MENOR</v>
      </c>
      <c r="G20" s="15" t="str">
        <f t="shared" ca="1" si="1"/>
        <v>4 - Baja</v>
      </c>
    </row>
    <row r="21" spans="2:7" ht="20.100000000000001" customHeight="1">
      <c r="B21" s="10" t="s">
        <v>47</v>
      </c>
      <c r="C21" s="16">
        <f>COUNTIF(Evaluacion!B4:B28,"*H9*")</f>
        <v>1</v>
      </c>
      <c r="D21" s="16">
        <f ca="1">IFERROR(_xludf.MAXIFS(Evaluacion!E4:E28,Evaluacion!B4:B28,"*H9*"),0)</f>
        <v>0</v>
      </c>
      <c r="E21" s="11">
        <f>IFERROR(AVERAGEIF(Evaluacion!B4:B28,"*H9*",Evaluacion!E4:E28),0)</f>
        <v>3</v>
      </c>
      <c r="F21" s="12" t="str">
        <f t="shared" ca="1" si="0"/>
        <v>MENOR</v>
      </c>
      <c r="G21" s="12" t="str">
        <f t="shared" ca="1" si="1"/>
        <v>4 - Baja</v>
      </c>
    </row>
    <row r="22" spans="2:7" ht="20.100000000000001" customHeight="1">
      <c r="B22" s="13" t="s">
        <v>48</v>
      </c>
      <c r="C22" s="17">
        <f>COUNTIF(Evaluacion!B4:B28,"*H10*")</f>
        <v>1</v>
      </c>
      <c r="D22" s="17">
        <f ca="1">IFERROR(_xludf.MAXIFS(Evaluacion!E4:E28,Evaluacion!B4:B28,"*H10*"),0)</f>
        <v>0</v>
      </c>
      <c r="E22" s="14">
        <f>IFERROR(AVERAGEIF(Evaluacion!B4:B28,"*H10*",Evaluacion!E4:E28),0)</f>
        <v>2</v>
      </c>
      <c r="F22" s="15" t="str">
        <f t="shared" ca="1" si="0"/>
        <v>MENOR</v>
      </c>
      <c r="G22" s="15" t="str">
        <f t="shared" ca="1" si="1"/>
        <v>4 - Baja</v>
      </c>
    </row>
  </sheetData>
  <mergeCells count="9">
    <mergeCell ref="B1:G1"/>
    <mergeCell ref="B4:G4"/>
    <mergeCell ref="C9:D9"/>
    <mergeCell ref="C8:D8"/>
    <mergeCell ref="B11:G11"/>
    <mergeCell ref="B2:G2"/>
    <mergeCell ref="C6:D6"/>
    <mergeCell ref="C7:D7"/>
    <mergeCell ref="C5:D5"/>
  </mergeCells>
  <conditionalFormatting sqref="F13:F22">
    <cfRule type="cellIs" dxfId="2" priority="1" operator="equal">
      <formula>"CRITICO"</formula>
    </cfRule>
    <cfRule type="cellIs" dxfId="1" priority="2" operator="equal">
      <formula>"MAYOR"</formula>
    </cfRule>
    <cfRule type="cellIs" dxfId="0" priority="3" operator="equal">
      <formula>"Sin problemas"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3"/>
  <sheetViews>
    <sheetView showGridLines="0" workbookViewId="0">
      <selection activeCell="C4" sqref="C4"/>
    </sheetView>
  </sheetViews>
  <sheetFormatPr baseColWidth="10" defaultColWidth="8.85546875" defaultRowHeight="15"/>
  <cols>
    <col min="1" max="1" width="3" customWidth="1"/>
    <col min="2" max="2" width="7" customWidth="1"/>
    <col min="3" max="3" width="26" customWidth="1"/>
    <col min="4" max="4" width="38" customWidth="1"/>
    <col min="5" max="5" width="32" customWidth="1"/>
    <col min="6" max="6" width="28" customWidth="1"/>
  </cols>
  <sheetData>
    <row r="1" spans="2:6" ht="32.1" customHeight="1">
      <c r="B1" s="32" t="s">
        <v>49</v>
      </c>
      <c r="C1" s="31"/>
      <c r="D1" s="31"/>
      <c r="E1" s="31"/>
      <c r="F1" s="31"/>
    </row>
    <row r="2" spans="2:6" ht="15.95" customHeight="1">
      <c r="B2" s="30" t="s">
        <v>50</v>
      </c>
      <c r="C2" s="31"/>
      <c r="D2" s="31"/>
      <c r="E2" s="31"/>
      <c r="F2" s="31"/>
    </row>
    <row r="3" spans="2:6" ht="21.95" customHeight="1">
      <c r="B3" s="8" t="s">
        <v>18</v>
      </c>
      <c r="C3" s="8" t="s">
        <v>19</v>
      </c>
      <c r="D3" s="8" t="s">
        <v>51</v>
      </c>
      <c r="E3" s="8" t="s">
        <v>52</v>
      </c>
      <c r="F3" s="8" t="s">
        <v>53</v>
      </c>
    </row>
    <row r="4" spans="2:6" ht="57.95" customHeight="1">
      <c r="B4" s="18" t="s">
        <v>54</v>
      </c>
      <c r="C4" s="19" t="s">
        <v>55</v>
      </c>
      <c r="D4" s="20" t="s">
        <v>56</v>
      </c>
      <c r="E4" s="20" t="s">
        <v>57</v>
      </c>
      <c r="F4" s="20" t="s">
        <v>58</v>
      </c>
    </row>
    <row r="5" spans="2:6" ht="57.95" customHeight="1">
      <c r="B5" s="18" t="s">
        <v>59</v>
      </c>
      <c r="C5" s="19" t="s">
        <v>60</v>
      </c>
      <c r="D5" s="20" t="s">
        <v>61</v>
      </c>
      <c r="E5" s="20" t="s">
        <v>62</v>
      </c>
      <c r="F5" s="20" t="s">
        <v>63</v>
      </c>
    </row>
    <row r="6" spans="2:6" ht="57.95" customHeight="1">
      <c r="B6" s="18" t="s">
        <v>64</v>
      </c>
      <c r="C6" s="19" t="s">
        <v>65</v>
      </c>
      <c r="D6" s="20" t="s">
        <v>66</v>
      </c>
      <c r="E6" s="20" t="s">
        <v>67</v>
      </c>
      <c r="F6" s="20" t="s">
        <v>68</v>
      </c>
    </row>
    <row r="7" spans="2:6" ht="57.95" customHeight="1">
      <c r="B7" s="18" t="s">
        <v>69</v>
      </c>
      <c r="C7" s="19" t="s">
        <v>70</v>
      </c>
      <c r="D7" s="20" t="s">
        <v>71</v>
      </c>
      <c r="E7" s="20" t="s">
        <v>72</v>
      </c>
      <c r="F7" s="20" t="s">
        <v>73</v>
      </c>
    </row>
    <row r="8" spans="2:6" ht="57.95" customHeight="1">
      <c r="B8" s="18" t="s">
        <v>74</v>
      </c>
      <c r="C8" s="19" t="s">
        <v>75</v>
      </c>
      <c r="D8" s="20" t="s">
        <v>76</v>
      </c>
      <c r="E8" s="20" t="s">
        <v>77</v>
      </c>
      <c r="F8" s="20" t="s">
        <v>78</v>
      </c>
    </row>
    <row r="9" spans="2:6" ht="57.95" customHeight="1">
      <c r="B9" s="18" t="s">
        <v>79</v>
      </c>
      <c r="C9" s="19" t="s">
        <v>80</v>
      </c>
      <c r="D9" s="20" t="s">
        <v>81</v>
      </c>
      <c r="E9" s="20" t="s">
        <v>82</v>
      </c>
      <c r="F9" s="20" t="s">
        <v>83</v>
      </c>
    </row>
    <row r="10" spans="2:6" ht="57.95" customHeight="1">
      <c r="B10" s="18" t="s">
        <v>84</v>
      </c>
      <c r="C10" s="19" t="s">
        <v>85</v>
      </c>
      <c r="D10" s="20" t="s">
        <v>86</v>
      </c>
      <c r="E10" s="20" t="s">
        <v>87</v>
      </c>
      <c r="F10" s="20" t="s">
        <v>88</v>
      </c>
    </row>
    <row r="11" spans="2:6" ht="57.95" customHeight="1">
      <c r="B11" s="18" t="s">
        <v>89</v>
      </c>
      <c r="C11" s="19" t="s">
        <v>90</v>
      </c>
      <c r="D11" s="20" t="s">
        <v>91</v>
      </c>
      <c r="E11" s="20" t="s">
        <v>92</v>
      </c>
      <c r="F11" s="20" t="s">
        <v>93</v>
      </c>
    </row>
    <row r="12" spans="2:6" ht="57.95" customHeight="1">
      <c r="B12" s="18" t="s">
        <v>94</v>
      </c>
      <c r="C12" s="19" t="s">
        <v>95</v>
      </c>
      <c r="D12" s="20" t="s">
        <v>96</v>
      </c>
      <c r="E12" s="20" t="s">
        <v>97</v>
      </c>
      <c r="F12" s="20" t="s">
        <v>98</v>
      </c>
    </row>
    <row r="13" spans="2:6" ht="57.95" customHeight="1">
      <c r="B13" s="18" t="s">
        <v>99</v>
      </c>
      <c r="C13" s="19" t="s">
        <v>100</v>
      </c>
      <c r="D13" s="20" t="s">
        <v>101</v>
      </c>
      <c r="E13" s="20" t="s">
        <v>102</v>
      </c>
      <c r="F13" s="20" t="s">
        <v>103</v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Evaluacion</vt:lpstr>
      <vt:lpstr>Resumen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IGNACIO CASTRO CAPILLA</cp:lastModifiedBy>
  <dcterms:created xsi:type="dcterms:W3CDTF">2026-06-12T14:00:04Z</dcterms:created>
  <dcterms:modified xsi:type="dcterms:W3CDTF">2026-06-23T03:18:24Z</dcterms:modified>
</cp:coreProperties>
</file>